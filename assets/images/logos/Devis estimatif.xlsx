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0564ae3fd41483/Documents/Entreprise/Entreprise de nettoyage/"/>
    </mc:Choice>
  </mc:AlternateContent>
  <xr:revisionPtr revIDLastSave="8" documentId="13_ncr:1_{4428F479-D54C-4AD3-9D06-93F78CB08C90}" xr6:coauthVersionLast="47" xr6:coauthVersionMax="47" xr10:uidLastSave="{84F40A98-9B14-4414-95CB-B34A2D0A5E67}"/>
  <bookViews>
    <workbookView xWindow="-110" yWindow="-110" windowWidth="19420" windowHeight="10420" xr2:uid="{A787A8AD-A7EB-4D00-852C-2E8A8EF5E44B}"/>
  </bookViews>
  <sheets>
    <sheet name="Estimation" sheetId="1" r:id="rId1"/>
  </sheets>
  <definedNames>
    <definedName name="_xlnm._FilterDatabase" localSheetId="0" hidden="1">Estimation!$C$2:$C$5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" l="1"/>
  <c r="D17" i="1" s="1"/>
  <c r="E16" i="1"/>
  <c r="E17" i="1" s="1"/>
  <c r="F16" i="1"/>
  <c r="F17" i="1" s="1"/>
  <c r="C16" i="1"/>
  <c r="C12" i="1"/>
  <c r="E12" i="1"/>
  <c r="F12" i="1"/>
  <c r="D12" i="1"/>
  <c r="C17" i="1" l="1"/>
</calcChain>
</file>

<file path=xl/sharedStrings.xml><?xml version="1.0" encoding="utf-8"?>
<sst xmlns="http://schemas.openxmlformats.org/spreadsheetml/2006/main" count="31" uniqueCount="21">
  <si>
    <t xml:space="preserve">Deep cleaning </t>
  </si>
  <si>
    <t>Bedrooms</t>
  </si>
  <si>
    <t>Bathrooms</t>
  </si>
  <si>
    <t>AirBNB cleaning</t>
  </si>
  <si>
    <t>Regular cleaning</t>
  </si>
  <si>
    <t>Estimated time</t>
  </si>
  <si>
    <t>4 hours</t>
  </si>
  <si>
    <t>3 hours</t>
  </si>
  <si>
    <t>Moving/ out cleaning</t>
  </si>
  <si>
    <t>Basement</t>
  </si>
  <si>
    <t>BOOKING</t>
  </si>
  <si>
    <t>Select your services</t>
  </si>
  <si>
    <t>Choose the cleaning service you need</t>
  </si>
  <si>
    <t xml:space="preserve">Carpet </t>
  </si>
  <si>
    <t>PI2</t>
  </si>
  <si>
    <t>unite</t>
  </si>
  <si>
    <t>$</t>
  </si>
  <si>
    <t xml:space="preserve">Estimated </t>
  </si>
  <si>
    <t>Total with out tax</t>
  </si>
  <si>
    <t>6 hours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</si>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</sst>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1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2" fontId="0" fillId="4" borderId="7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D355-3912-48A6-985A-D46720FAB4DF}">
  <dimension ref="A2:G21"/>
  <sheetViews>
    <sheetView tabSelected="1" workbookViewId="0">
      <selection activeCell="J19" sqref="J19"/>
    </sheetView>
  </sheetViews>
  <sheetFormatPr defaultRowHeight="14.5" x14ac:dyDescent="0.35"/>
  <cols>
    <col min="1" max="1" width="18.36328125" customWidth="1"/>
    <col min="2" max="2" width="4.54296875" customWidth="1"/>
    <col min="3" max="3" width="12.6328125" customWidth="1"/>
    <col min="4" max="4" width="19.6328125" customWidth="1"/>
    <col min="5" max="5" width="15.36328125" customWidth="1" collapsed="1"/>
    <col min="6" max="6" width="15.453125" customWidth="1"/>
    <col min="10" max="10" width="15.1796875" customWidth="1"/>
  </cols>
  <sheetData>
    <row r="2" spans="1:7" x14ac:dyDescent="0.35">
      <c r="A2" s="1" t="s">
        <v>10</v>
      </c>
      <c r="B2" s="1"/>
    </row>
    <row r="3" spans="1:7" x14ac:dyDescent="0.35">
      <c r="A3" s="1" t="s">
        <v>11</v>
      </c>
      <c r="B3" s="1"/>
    </row>
    <row r="4" spans="1:7" ht="15" thickBot="1" x14ac:dyDescent="0.4">
      <c r="A4" s="28" t="s">
        <v>12</v>
      </c>
      <c r="B4" s="28"/>
      <c r="C4" s="28"/>
      <c r="D4" s="28"/>
      <c r="E4" s="28"/>
      <c r="F4" s="28"/>
    </row>
    <row r="5" spans="1:7" ht="15" thickBot="1" x14ac:dyDescent="0.4">
      <c r="A5" s="11" t="s">
        <v>20</v>
      </c>
      <c r="B5" s="16"/>
      <c r="C5" s="2" t="s">
        <v>0</v>
      </c>
      <c r="D5" s="3" t="s">
        <v>8</v>
      </c>
      <c r="E5" s="3" t="s">
        <v>3</v>
      </c>
      <c r="F5" s="3" t="s">
        <v>4</v>
      </c>
      <c r="G5" s="1"/>
    </row>
    <row r="6" spans="1:7" x14ac:dyDescent="0.35">
      <c r="A6" s="12" t="s">
        <v>1</v>
      </c>
      <c r="B6" s="17" t="s">
        <v>15</v>
      </c>
      <c r="C6" s="4">
        <v>1</v>
      </c>
      <c r="D6" s="5">
        <v>0</v>
      </c>
      <c r="E6" s="5">
        <v>0</v>
      </c>
      <c r="F6" s="5">
        <v>0</v>
      </c>
    </row>
    <row r="7" spans="1:7" x14ac:dyDescent="0.35">
      <c r="A7" s="13"/>
      <c r="B7" s="18" t="s">
        <v>16</v>
      </c>
      <c r="C7" s="6">
        <v>20</v>
      </c>
      <c r="D7" s="7">
        <v>25</v>
      </c>
      <c r="E7" s="7">
        <v>10</v>
      </c>
      <c r="F7" s="7">
        <v>15</v>
      </c>
    </row>
    <row r="8" spans="1:7" x14ac:dyDescent="0.35">
      <c r="A8" s="13" t="s">
        <v>2</v>
      </c>
      <c r="B8" s="18" t="s">
        <v>15</v>
      </c>
      <c r="C8" s="8">
        <v>1</v>
      </c>
      <c r="D8" s="7">
        <v>0</v>
      </c>
      <c r="E8" s="7">
        <v>0</v>
      </c>
      <c r="F8" s="7">
        <v>0</v>
      </c>
    </row>
    <row r="9" spans="1:7" x14ac:dyDescent="0.35">
      <c r="A9" s="13"/>
      <c r="B9" s="18" t="s">
        <v>16</v>
      </c>
      <c r="C9" s="6">
        <v>25</v>
      </c>
      <c r="D9" s="7">
        <v>30</v>
      </c>
      <c r="E9" s="7">
        <v>15</v>
      </c>
      <c r="F9" s="7">
        <v>20</v>
      </c>
    </row>
    <row r="10" spans="1:7" x14ac:dyDescent="0.35">
      <c r="A10" s="13" t="s">
        <v>9</v>
      </c>
      <c r="B10" s="18" t="s">
        <v>15</v>
      </c>
      <c r="C10" s="6">
        <v>0</v>
      </c>
      <c r="D10" s="7">
        <v>0</v>
      </c>
      <c r="E10" s="7">
        <v>0</v>
      </c>
      <c r="F10" s="7">
        <v>0</v>
      </c>
    </row>
    <row r="11" spans="1:7" x14ac:dyDescent="0.35">
      <c r="A11" s="13"/>
      <c r="B11" s="18" t="s">
        <v>16</v>
      </c>
      <c r="C11" s="6">
        <v>30</v>
      </c>
      <c r="D11" s="7">
        <v>35</v>
      </c>
      <c r="E11" s="7">
        <v>20</v>
      </c>
      <c r="F11" s="7">
        <v>25</v>
      </c>
    </row>
    <row r="12" spans="1:7" x14ac:dyDescent="0.35">
      <c r="A12" s="14" t="s">
        <v>17</v>
      </c>
      <c r="B12" s="19" t="s">
        <v>16</v>
      </c>
      <c r="C12" s="9">
        <f>250+50*C8+C7*C6+C11*C10</f>
        <v>320</v>
      </c>
      <c r="D12" s="10">
        <f>300+D9*D8+D7*D6+D11*D10</f>
        <v>300</v>
      </c>
      <c r="E12" s="10">
        <f>100+E9*E8+E7*E6+E11*E10</f>
        <v>100</v>
      </c>
      <c r="F12" s="10">
        <f>120+F9*F8+F7*F6+F11*F10</f>
        <v>120</v>
      </c>
    </row>
    <row r="13" spans="1:7" x14ac:dyDescent="0.35">
      <c r="A13" s="21"/>
      <c r="B13" s="22"/>
      <c r="C13" s="23"/>
      <c r="D13" s="24"/>
      <c r="E13" s="24"/>
      <c r="F13" s="24"/>
    </row>
    <row r="14" spans="1:7" x14ac:dyDescent="0.35">
      <c r="A14" s="13" t="s">
        <v>13</v>
      </c>
      <c r="B14" s="18" t="s">
        <v>14</v>
      </c>
      <c r="C14" s="6">
        <v>0</v>
      </c>
      <c r="D14" s="7">
        <v>0</v>
      </c>
      <c r="E14" s="7">
        <v>0</v>
      </c>
      <c r="F14" s="7">
        <v>0</v>
      </c>
    </row>
    <row r="15" spans="1:7" x14ac:dyDescent="0.35">
      <c r="A15" s="13"/>
      <c r="B15" s="18" t="s">
        <v>16</v>
      </c>
      <c r="C15" s="6">
        <v>0.25</v>
      </c>
      <c r="D15" s="7">
        <v>0.25</v>
      </c>
      <c r="E15" s="29">
        <v>0.2</v>
      </c>
      <c r="F15" s="29">
        <v>0.2</v>
      </c>
    </row>
    <row r="16" spans="1:7" x14ac:dyDescent="0.35">
      <c r="A16" s="25" t="s">
        <v>17</v>
      </c>
      <c r="B16" s="26" t="s">
        <v>16</v>
      </c>
      <c r="C16" s="27">
        <f>C14*C15</f>
        <v>0</v>
      </c>
      <c r="D16" s="27">
        <f t="shared" ref="D16:F16" si="0">D14*D15</f>
        <v>0</v>
      </c>
      <c r="E16" s="27">
        <f t="shared" si="0"/>
        <v>0</v>
      </c>
      <c r="F16" s="27">
        <f t="shared" si="0"/>
        <v>0</v>
      </c>
    </row>
    <row r="17" spans="1:6" x14ac:dyDescent="0.35">
      <c r="A17" s="25" t="s">
        <v>18</v>
      </c>
      <c r="B17" s="26" t="s">
        <v>16</v>
      </c>
      <c r="C17" s="27">
        <f>C16+C12</f>
        <v>320</v>
      </c>
      <c r="D17" s="27">
        <f t="shared" ref="D17:F17" si="1">D16+D12</f>
        <v>300</v>
      </c>
      <c r="E17" s="27">
        <f t="shared" si="1"/>
        <v>100</v>
      </c>
      <c r="F17" s="27">
        <f t="shared" si="1"/>
        <v>120</v>
      </c>
    </row>
    <row r="18" spans="1:6" ht="15" thickBot="1" x14ac:dyDescent="0.4">
      <c r="A18" s="15" t="s">
        <v>5</v>
      </c>
      <c r="B18" s="20"/>
      <c r="C18" s="9" t="s">
        <v>19</v>
      </c>
      <c r="D18" s="10" t="s">
        <v>19</v>
      </c>
      <c r="E18" s="10" t="s">
        <v>7</v>
      </c>
      <c r="F18" s="10" t="s">
        <v>6</v>
      </c>
    </row>
    <row r="21" spans="1:6" x14ac:dyDescent="0.35">
      <c r="C21" s="1"/>
    </row>
  </sheetData>
  <mergeCells count="1">
    <mergeCell ref="A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MOUSTAPHA DIALLO</dc:creator>
  <cp:lastModifiedBy>MAMADOU MOUSTAPHA DIALLO</cp:lastModifiedBy>
  <dcterms:created xsi:type="dcterms:W3CDTF">2025-12-17T23:38:36Z</dcterms:created>
  <dcterms:modified xsi:type="dcterms:W3CDTF">2025-12-28T23:10:05Z</dcterms:modified>
</cp:coreProperties>
</file>